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67d4c637ef05/Documents/GitHub/Seminar-Class/Lab Day 4 results_files/"/>
    </mc:Choice>
  </mc:AlternateContent>
  <xr:revisionPtr revIDLastSave="70" documentId="8_{F6C0D077-6094-46A4-8587-6D16D0E97819}" xr6:coauthVersionLast="47" xr6:coauthVersionMax="47" xr10:uidLastSave="{2B9ED511-5085-4DC4-85EC-D09049BC2FAA}"/>
  <bookViews>
    <workbookView xWindow="9510" yWindow="0" windowWidth="9780" windowHeight="11370" xr2:uid="{0FA4B382-6EEA-4A80-A452-D3BC7EBC8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8" i="1"/>
  <c r="J7" i="1"/>
  <c r="I3" i="1"/>
  <c r="I4" i="1"/>
  <c r="I2" i="1"/>
</calcChain>
</file>

<file path=xl/sharedStrings.xml><?xml version="1.0" encoding="utf-8"?>
<sst xmlns="http://schemas.openxmlformats.org/spreadsheetml/2006/main" count="41" uniqueCount="34">
  <si>
    <t xml:space="preserve">person </t>
  </si>
  <si>
    <t>Gestational weeks</t>
  </si>
  <si>
    <t>age</t>
  </si>
  <si>
    <t xml:space="preserve">prior children </t>
  </si>
  <si>
    <t xml:space="preserve">monthly income </t>
  </si>
  <si>
    <t xml:space="preserve">childcare cost burden </t>
  </si>
  <si>
    <t xml:space="preserve">rent burden </t>
  </si>
  <si>
    <t xml:space="preserve">remaining monthly funds </t>
  </si>
  <si>
    <t xml:space="preserve">Sydney </t>
  </si>
  <si>
    <t>Kaylah</t>
  </si>
  <si>
    <t>Julie</t>
  </si>
  <si>
    <t>Location</t>
  </si>
  <si>
    <t xml:space="preserve">Dallas, Texas </t>
  </si>
  <si>
    <t>Yonkers, New York</t>
  </si>
  <si>
    <t>Pittsburg, KS</t>
  </si>
  <si>
    <t xml:space="preserve">Seeking Care </t>
  </si>
  <si>
    <t xml:space="preserve">New Reality </t>
  </si>
  <si>
    <t xml:space="preserve">gestational limit </t>
  </si>
  <si>
    <t xml:space="preserve">Closest abortion Clinic (miles)  </t>
  </si>
  <si>
    <t>Abortion Clinics in state</t>
  </si>
  <si>
    <t xml:space="preserve">Medicaid funding </t>
  </si>
  <si>
    <t xml:space="preserve">Procedure cost </t>
  </si>
  <si>
    <t>Missed wages</t>
  </si>
  <si>
    <t xml:space="preserve">child care </t>
  </si>
  <si>
    <t xml:space="preserve">Total cost </t>
  </si>
  <si>
    <t>Sydney</t>
  </si>
  <si>
    <t>no</t>
  </si>
  <si>
    <t xml:space="preserve">Travel costs </t>
  </si>
  <si>
    <t>50+</t>
  </si>
  <si>
    <t>yes</t>
  </si>
  <si>
    <t>SNAP Income Limit</t>
  </si>
  <si>
    <t>TANF Income Limit</t>
  </si>
  <si>
    <t>How much frunds from SNAP</t>
  </si>
  <si>
    <t># of family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</si>
</sst>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1" fillId="0" borderId="2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6E6CA-2575-435D-B9E5-7160D5FE1C87}" name="Table1" displayName="Table1" ref="A1:I4" totalsRowShown="0">
  <autoFilter ref="A1:I4" xr:uid="{99E6E6CA-2575-435D-B9E5-7160D5FE1C87}"/>
  <tableColumns count="9">
    <tableColumn id="1" xr3:uid="{9EFC3068-40DD-4304-8D6D-26C47C8BEC52}" name="person "/>
    <tableColumn id="2" xr3:uid="{8DFB1F8A-1880-427F-A872-F74851C56EC6}" name="Location"/>
    <tableColumn id="3" xr3:uid="{6C2BB2F5-074C-4DC5-BE24-4089DD449160}" name="Gestational weeks"/>
    <tableColumn id="4" xr3:uid="{BBB5A14A-1C6A-4C67-B311-3BECC4E36758}" name="age"/>
    <tableColumn id="5" xr3:uid="{D431E446-71D5-49E0-B7BC-9C7721023AF9}" name="prior children "/>
    <tableColumn id="6" xr3:uid="{A28DF475-17F3-4171-B5CA-CD297AF8FF83}" name="monthly income "/>
    <tableColumn id="7" xr3:uid="{0AE69181-D7D7-4F82-9E67-91C956FE7EDD}" name="childcare cost burden "/>
    <tableColumn id="8" xr3:uid="{DC0F4A8B-ECC1-48DC-83F0-4D2C9FEF55CF}" name="rent burden "/>
    <tableColumn id="9" xr3:uid="{D8D9B132-E10A-4C97-9F9D-905809DD1103}" name="remaining monthly funds ">
      <calculatedColumnFormula>F2-G2-H2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53AC-F29D-4F85-8969-43018C691E1E}">
  <dimension ref="A1:J15"/>
  <sheetViews>
    <sheetView tabSelected="1" zoomScale="47" workbookViewId="0">
      <selection activeCell="A17" sqref="A17"/>
    </sheetView>
  </sheetViews>
  <sheetFormatPr defaultRowHeight="14.5" x14ac:dyDescent="0.35"/>
  <cols>
    <col min="1" max="1" width="16.7265625" bestFit="1" customWidth="1"/>
    <col min="2" max="2" width="22.90625" bestFit="1" customWidth="1"/>
    <col min="3" max="3" width="35.26953125" bestFit="1" customWidth="1"/>
    <col min="4" max="4" width="27.54296875" bestFit="1" customWidth="1"/>
    <col min="5" max="5" width="32.54296875" bestFit="1" customWidth="1"/>
    <col min="6" max="6" width="23.90625" bestFit="1" customWidth="1"/>
    <col min="7" max="7" width="22.81640625" customWidth="1"/>
    <col min="8" max="8" width="19.453125" bestFit="1" customWidth="1"/>
    <col min="9" max="9" width="33.54296875" bestFit="1" customWidth="1"/>
    <col min="10" max="10" width="12.81640625" bestFit="1" customWidth="1"/>
  </cols>
  <sheetData>
    <row r="1" spans="1:10" x14ac:dyDescent="0.3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0" x14ac:dyDescent="0.35">
      <c r="A2" t="s">
        <v>8</v>
      </c>
      <c r="B2" t="s">
        <v>12</v>
      </c>
      <c r="C2">
        <v>13</v>
      </c>
      <c r="D2">
        <v>28</v>
      </c>
      <c r="E2">
        <v>1</v>
      </c>
      <c r="F2">
        <v>2675</v>
      </c>
      <c r="G2">
        <v>889</v>
      </c>
      <c r="H2">
        <v>835</v>
      </c>
      <c r="I2">
        <f>F2-G2-H2</f>
        <v>951</v>
      </c>
    </row>
    <row r="3" spans="1:10" x14ac:dyDescent="0.35">
      <c r="A3" t="s">
        <v>9</v>
      </c>
      <c r="B3" t="s">
        <v>13</v>
      </c>
      <c r="C3">
        <v>13</v>
      </c>
      <c r="D3">
        <v>27</v>
      </c>
      <c r="E3">
        <v>2</v>
      </c>
      <c r="F3">
        <v>3340</v>
      </c>
      <c r="G3">
        <v>1417</v>
      </c>
      <c r="H3">
        <v>1075</v>
      </c>
      <c r="I3">
        <f t="shared" ref="I3:I4" si="0">F3-G3-H3</f>
        <v>848</v>
      </c>
    </row>
    <row r="4" spans="1:10" x14ac:dyDescent="0.35">
      <c r="A4" t="s">
        <v>10</v>
      </c>
      <c r="B4" t="s">
        <v>14</v>
      </c>
      <c r="C4">
        <v>13</v>
      </c>
      <c r="D4">
        <v>25</v>
      </c>
      <c r="E4">
        <v>0</v>
      </c>
      <c r="F4">
        <v>2667</v>
      </c>
      <c r="G4">
        <v>0</v>
      </c>
      <c r="H4">
        <v>750</v>
      </c>
      <c r="I4">
        <f t="shared" si="0"/>
        <v>1917</v>
      </c>
    </row>
    <row r="6" spans="1:10" ht="15" thickBot="1" x14ac:dyDescent="0.4">
      <c r="A6" s="2" t="s">
        <v>15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27</v>
      </c>
      <c r="I6" s="2" t="s">
        <v>23</v>
      </c>
      <c r="J6" s="2" t="s">
        <v>24</v>
      </c>
    </row>
    <row r="7" spans="1:10" x14ac:dyDescent="0.35">
      <c r="A7" s="1" t="s">
        <v>25</v>
      </c>
      <c r="B7" s="1">
        <v>0</v>
      </c>
      <c r="C7" s="1">
        <v>363</v>
      </c>
      <c r="D7" s="1">
        <v>0</v>
      </c>
      <c r="E7" s="1" t="s">
        <v>26</v>
      </c>
      <c r="F7" s="1">
        <v>1000</v>
      </c>
      <c r="G7" s="1">
        <v>178.34</v>
      </c>
      <c r="H7" s="1">
        <v>170.3</v>
      </c>
      <c r="I7" s="1">
        <v>59.26</v>
      </c>
      <c r="J7" s="1">
        <f>F7+G7+H7+I7</f>
        <v>1407.8999999999999</v>
      </c>
    </row>
    <row r="8" spans="1:10" x14ac:dyDescent="0.35">
      <c r="A8" s="3" t="s">
        <v>9</v>
      </c>
      <c r="B8" s="3">
        <v>22</v>
      </c>
      <c r="C8" s="3">
        <v>3.7</v>
      </c>
      <c r="D8" s="3" t="s">
        <v>28</v>
      </c>
      <c r="E8" s="3" t="s">
        <v>29</v>
      </c>
      <c r="F8" s="3">
        <v>0</v>
      </c>
      <c r="G8" s="3">
        <v>111</v>
      </c>
      <c r="H8" s="3">
        <v>6</v>
      </c>
      <c r="I8" s="3">
        <v>0</v>
      </c>
      <c r="J8" s="3">
        <f>SUM(F8:I8)</f>
        <v>117</v>
      </c>
    </row>
    <row r="9" spans="1:10" x14ac:dyDescent="0.35">
      <c r="A9" s="1" t="s">
        <v>10</v>
      </c>
      <c r="B9" s="1">
        <v>22</v>
      </c>
      <c r="C9" s="1">
        <v>115</v>
      </c>
      <c r="D9" s="1">
        <v>7</v>
      </c>
      <c r="E9" s="1" t="s">
        <v>26</v>
      </c>
      <c r="F9" s="1">
        <v>1500</v>
      </c>
      <c r="G9" s="1">
        <v>88.9</v>
      </c>
      <c r="H9" s="1">
        <v>30.68</v>
      </c>
      <c r="I9" s="1">
        <v>0</v>
      </c>
      <c r="J9" s="1">
        <f>SUM(F9:I9)</f>
        <v>1619.5800000000002</v>
      </c>
    </row>
    <row r="12" spans="1:10" ht="15" thickBot="1" x14ac:dyDescent="0.4">
      <c r="A12" s="2" t="s">
        <v>16</v>
      </c>
      <c r="B12" s="2" t="s">
        <v>33</v>
      </c>
      <c r="C12" s="2" t="s">
        <v>4</v>
      </c>
      <c r="D12" s="2" t="s">
        <v>30</v>
      </c>
      <c r="E12" s="2" t="s">
        <v>32</v>
      </c>
      <c r="F12" s="2" t="s">
        <v>31</v>
      </c>
    </row>
    <row r="13" spans="1:10" x14ac:dyDescent="0.35">
      <c r="A13" s="1" t="s">
        <v>25</v>
      </c>
      <c r="B13" s="1">
        <v>3</v>
      </c>
      <c r="C13" s="1">
        <v>2675</v>
      </c>
      <c r="D13" s="1">
        <v>1868</v>
      </c>
      <c r="E13" s="1">
        <v>0</v>
      </c>
      <c r="F13" s="1">
        <v>188</v>
      </c>
    </row>
    <row r="14" spans="1:10" x14ac:dyDescent="0.35">
      <c r="A14" s="3" t="s">
        <v>9</v>
      </c>
      <c r="B14" s="3">
        <v>4</v>
      </c>
      <c r="C14" s="3">
        <v>3340</v>
      </c>
      <c r="D14" s="3">
        <v>3350</v>
      </c>
      <c r="E14" s="3">
        <v>835</v>
      </c>
      <c r="F14" s="3">
        <v>789</v>
      </c>
    </row>
    <row r="15" spans="1:10" x14ac:dyDescent="0.35">
      <c r="A15" s="1" t="s">
        <v>10</v>
      </c>
      <c r="B15" s="1">
        <v>2</v>
      </c>
      <c r="C15" s="1">
        <v>2667</v>
      </c>
      <c r="D15" s="1">
        <v>2292</v>
      </c>
      <c r="E15" s="1">
        <v>0</v>
      </c>
      <c r="F15" s="1">
        <v>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Wilson</dc:creator>
  <cp:lastModifiedBy>Julie Wilson</cp:lastModifiedBy>
  <dcterms:created xsi:type="dcterms:W3CDTF">2026-04-23T13:21:30Z</dcterms:created>
  <dcterms:modified xsi:type="dcterms:W3CDTF">2026-04-24T01:53:44Z</dcterms:modified>
</cp:coreProperties>
</file>